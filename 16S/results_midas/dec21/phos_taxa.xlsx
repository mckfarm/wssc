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yf\Documents\GitHub\wssc\results_midas\"/>
    </mc:Choice>
  </mc:AlternateContent>
  <xr:revisionPtr revIDLastSave="0" documentId="13_ncr:40009_{A47B8127-6986-4CED-B789-B9BB4DDB4356}" xr6:coauthVersionLast="47" xr6:coauthVersionMax="47" xr10:uidLastSave="{00000000-0000-0000-0000-000000000000}"/>
  <bookViews>
    <workbookView xWindow="19090" yWindow="-110" windowWidth="19420" windowHeight="10420" activeTab="1"/>
  </bookViews>
  <sheets>
    <sheet name="phos_taxa" sheetId="1" r:id="rId1"/>
    <sheet name="name table" sheetId="2" r:id="rId2"/>
  </sheets>
  <calcPr calcId="0"/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3" i="1"/>
  <c r="N4" i="1"/>
  <c r="N5" i="1"/>
  <c r="N6" i="1"/>
  <c r="N7" i="1"/>
  <c r="N8" i="1"/>
  <c r="N9" i="1"/>
  <c r="N2" i="1"/>
  <c r="L11" i="1"/>
  <c r="L12" i="1"/>
  <c r="L13" i="1"/>
  <c r="L14" i="1"/>
  <c r="L15" i="1"/>
  <c r="L16" i="1"/>
  <c r="L17" i="1"/>
  <c r="L18" i="1"/>
  <c r="L3" i="1"/>
  <c r="L4" i="1"/>
  <c r="L5" i="1"/>
  <c r="L6" i="1"/>
  <c r="L7" i="1"/>
  <c r="L8" i="1"/>
  <c r="L9" i="1"/>
  <c r="L2" i="1"/>
  <c r="M12" i="1"/>
  <c r="M13" i="1"/>
  <c r="M14" i="1"/>
  <c r="M15" i="1"/>
  <c r="M16" i="1"/>
  <c r="M17" i="1"/>
  <c r="M18" i="1"/>
  <c r="M11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<sst xmlns="http://schemas.openxmlformats.org/spreadsheetml/2006/main" count="62" uniqueCount="26">
  <si>
    <t>date</t>
  </si>
  <si>
    <t>test</t>
  </si>
  <si>
    <t>Ca_Accumulibacter</t>
  </si>
  <si>
    <t>Ca_Competibacter</t>
  </si>
  <si>
    <t>Dechloromonas</t>
  </si>
  <si>
    <t>Defluviicoccus</t>
  </si>
  <si>
    <t>Halomonas</t>
  </si>
  <si>
    <t>Microlunatus</t>
  </si>
  <si>
    <t>Micropruina</t>
  </si>
  <si>
    <t>Tetrasphaera</t>
  </si>
  <si>
    <t>AT1</t>
  </si>
  <si>
    <t>AT2/AT3</t>
  </si>
  <si>
    <t>Acc/Comp</t>
  </si>
  <si>
    <t>Acc/Tet</t>
  </si>
  <si>
    <t>Tet/Comp</t>
  </si>
  <si>
    <t>Candidatus Accumulibacter</t>
  </si>
  <si>
    <t>Candidatus Obscuribacter</t>
  </si>
  <si>
    <t>Candidatus Competibacter</t>
  </si>
  <si>
    <t>Candidatus Contendobacter</t>
  </si>
  <si>
    <t>Propionvibrio</t>
  </si>
  <si>
    <t>PAO</t>
  </si>
  <si>
    <t>GAO</t>
  </si>
  <si>
    <t>Non-putative</t>
  </si>
  <si>
    <t>PAO or GAO</t>
  </si>
  <si>
    <t>Genus Name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</si>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</sst>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AT1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phos_taxa!$B$2:$B$9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phos_taxa!$M$2:$M$9</c:f>
              <c:numCache>
                <c:formatCode>General</c:formatCode>
                <c:ptCount val="8"/>
                <c:pt idx="0">
                  <c:v>0</c:v>
                </c:pt>
                <c:pt idx="1">
                  <c:v>0.14285714285714304</c:v>
                </c:pt>
                <c:pt idx="2">
                  <c:v>0.18324607329842929</c:v>
                </c:pt>
                <c:pt idx="3">
                  <c:v>9.8039215686274647E-2</c:v>
                </c:pt>
                <c:pt idx="4">
                  <c:v>9.5541401273885385E-2</c:v>
                </c:pt>
                <c:pt idx="5">
                  <c:v>0.3</c:v>
                </c:pt>
                <c:pt idx="6">
                  <c:v>0.1407407407407405</c:v>
                </c:pt>
                <c:pt idx="7">
                  <c:v>0.14736842105263184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6-4042-8B68-42B3D5994043}"/>
            </c:ext>
          </c:extLst>
        </c:ser>
        <c:ser>
          <c:idx val="1"/>
          <c:order val="1"/>
          <c:tx>
            <c:v>AT2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phos_taxa!$B$11:$B$18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phos_taxa!$M$11:$M$18</c:f>
              <c:numCache>
                <c:formatCode>General</c:formatCode>
                <c:ptCount val="8"/>
                <c:pt idx="0">
                  <c:v>8.3333333333333412E-2</c:v>
                </c:pt>
                <c:pt idx="1">
                  <c:v>7.5471698113207253E-2</c:v>
                </c:pt>
                <c:pt idx="2">
                  <c:v>0.14285714285714288</c:v>
                </c:pt>
                <c:pt idx="3">
                  <c:v>6.2893081761006331E-2</c:v>
                </c:pt>
                <c:pt idx="4">
                  <c:v>0.1284916201117321</c:v>
                </c:pt>
                <c:pt idx="5">
                  <c:v>0.55128205128205143</c:v>
                </c:pt>
                <c:pt idx="6">
                  <c:v>0.10400000000000005</c:v>
                </c:pt>
                <c:pt idx="7">
                  <c:v>0.10606060606060609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E6-4042-8B68-42B3D599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919"/>
        <c:axId val="5567327"/>
      </c:scatterChart>
      <c:valAx>
        <c:axId val="55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7327"/>
        <c:crosses val="autoZero"/>
        <c:crossBetween val="midCat"/>
      </c:valAx>
      <c:valAx>
        <c:axId val="5567327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Ratio (Acc/Comp)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AT1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phos_taxa!$B$2:$B$9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phos_taxa!$L$2:$L$9</c:f>
              <c:numCache>
                <c:formatCode>General</c:formatCode>
                <c:ptCount val="8"/>
                <c:pt idx="0">
                  <c:v>0</c:v>
                </c:pt>
                <c:pt idx="1">
                  <c:v>8.6206896551724269E-2</c:v>
                </c:pt>
                <c:pt idx="2">
                  <c:v>0.23648648648648649</c:v>
                </c:pt>
                <c:pt idx="3">
                  <c:v>0.10791366906474818</c:v>
                </c:pt>
                <c:pt idx="4">
                  <c:v>9.0361445783132377E-2</c:v>
                </c:pt>
                <c:pt idx="5">
                  <c:v>0.33566433566433562</c:v>
                </c:pt>
                <c:pt idx="6">
                  <c:v>0.12418300653594752</c:v>
                </c:pt>
                <c:pt idx="7">
                  <c:v>7.6502732240437243E-2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8-4736-962A-6F026EB110E3}"/>
            </c:ext>
          </c:extLst>
        </c:ser>
        <c:ser>
          <c:idx val="1"/>
          <c:order val="1"/>
          <c:tx>
            <c:v>AT2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phos_taxa!$B$11:$B$18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phos_taxa!$L$11:$L$18</c:f>
              <c:numCache>
                <c:formatCode>General</c:formatCode>
                <c:ptCount val="8"/>
                <c:pt idx="0">
                  <c:v>1.8766756032171643E-2</c:v>
                </c:pt>
                <c:pt idx="1">
                  <c:v>2.3391812865497102E-2</c:v>
                </c:pt>
                <c:pt idx="2">
                  <c:v>0.21951219512195125</c:v>
                </c:pt>
                <c:pt idx="3">
                  <c:v>5.9880239520958181E-2</c:v>
                </c:pt>
                <c:pt idx="4">
                  <c:v>0.12637362637362634</c:v>
                </c:pt>
                <c:pt idx="5">
                  <c:v>0.58503401360544327</c:v>
                </c:pt>
                <c:pt idx="6">
                  <c:v>7.386363636363627E-2</c:v>
                </c:pt>
                <c:pt idx="7">
                  <c:v>9.7222222222222363E-2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8-4736-962A-6F026EB1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919"/>
        <c:axId val="5567327"/>
      </c:scatterChart>
      <c:valAx>
        <c:axId val="55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7327"/>
        <c:crosses val="autoZero"/>
        <c:crossBetween val="midCat"/>
      </c:valAx>
      <c:valAx>
        <c:axId val="55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Ratio (Acc/Tet)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Helvetica" panose="020B0604020202020204" pitchFamily="34" charset="0"/>
          <a:ea typeface="+mn-ea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AT1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phos_taxa!$B$2:$B$9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phos_taxa!$N$2:$N$9</c:f>
              <c:numCache>
                <c:formatCode>General</c:formatCode>
                <c:ptCount val="8"/>
                <c:pt idx="0">
                  <c:v>3.8352941176470514</c:v>
                </c:pt>
                <c:pt idx="1">
                  <c:v>1.6571428571428568</c:v>
                </c:pt>
                <c:pt idx="2">
                  <c:v>0.7748691099476438</c:v>
                </c:pt>
                <c:pt idx="3">
                  <c:v>0.90849673202614512</c:v>
                </c:pt>
                <c:pt idx="4">
                  <c:v>1.0573248407643332</c:v>
                </c:pt>
                <c:pt idx="5">
                  <c:v>0.89375000000000016</c:v>
                </c:pt>
                <c:pt idx="6">
                  <c:v>1.1333333333333331</c:v>
                </c:pt>
                <c:pt idx="7">
                  <c:v>1.9263157894736853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5-49D1-A235-2FA7FB0162B7}"/>
            </c:ext>
          </c:extLst>
        </c:ser>
        <c:ser>
          <c:idx val="1"/>
          <c:order val="1"/>
          <c:tx>
            <c:v>AT2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phos_taxa!$B$11:$B$18</c:f>
              <c:numCache>
                <c:formatCode>m/d/yyyy</c:formatCode>
                <c:ptCount val="8"/>
                <c:pt idx="0">
                  <c:v>44377</c:v>
                </c:pt>
                <c:pt idx="1">
                  <c:v>44397</c:v>
                </c:pt>
                <c:pt idx="2">
                  <c:v>44446</c:v>
                </c:pt>
                <c:pt idx="3">
                  <c:v>44467</c:v>
                </c:pt>
                <c:pt idx="4">
                  <c:v>44489</c:v>
                </c:pt>
                <c:pt idx="5">
                  <c:v>44501</c:v>
                </c:pt>
                <c:pt idx="6">
                  <c:v>44515</c:v>
                </c:pt>
                <c:pt idx="7">
                  <c:v>44523</c:v>
                </c:pt>
              </c:numCache>
            </c:numRef>
          </c:xVal>
          <c:yVal>
            <c:numRef>
              <c:f>phos_taxa!$N$11:$N$18</c:f>
              <c:numCache>
                <c:formatCode>General</c:formatCode>
                <c:ptCount val="8"/>
                <c:pt idx="0">
                  <c:v>4.4404761904761809</c:v>
                </c:pt>
                <c:pt idx="1">
                  <c:v>3.2264150943396066</c:v>
                </c:pt>
                <c:pt idx="2">
                  <c:v>0.65079365079365081</c:v>
                </c:pt>
                <c:pt idx="3">
                  <c:v>1.0503144654088039</c:v>
                </c:pt>
                <c:pt idx="4">
                  <c:v>1.0167597765363152</c:v>
                </c:pt>
                <c:pt idx="5">
                  <c:v>0.94230769230769085</c:v>
                </c:pt>
                <c:pt idx="6">
                  <c:v>1.4080000000000024</c:v>
                </c:pt>
                <c:pt idx="7">
                  <c:v>1.0909090909090897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5-49D1-A235-2FA7FB016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919"/>
        <c:axId val="5567327"/>
      </c:scatterChart>
      <c:valAx>
        <c:axId val="55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7327"/>
        <c:crosses val="autoZero"/>
        <c:crossBetween val="midCat"/>
      </c:valAx>
      <c:valAx>
        <c:axId val="55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/>
                  <a:t>Ratio (Tet/Comp)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56191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188231</xdr:colOff>
      <xdr:row>0</xdr:row>
      <xdr:rowOff>119290</xdr:rowOff>
    </xdr:from>
    <xdr:to>
      <xdr:col>33</xdr:col>
      <xdr:colOff>172354</xdr:colOff>
      <xdr:row>17</xdr:row>
      <xdr:rowOff>9071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AD6B5-C994-4FC1-AF82-0B5EAA3C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325348</xdr:colOff>
      <xdr:row>30</xdr:row>
      <xdr:rowOff>46856</xdr:rowOff>
    </xdr:from>
    <xdr:to>
      <xdr:col>33</xdr:col>
      <xdr:colOff>382577</xdr:colOff>
      <xdr:row>46</xdr:row>
      <xdr:rowOff>123056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09D028-003B-40FB-8580-7F9D93E88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290286</xdr:colOff>
      <xdr:row>12</xdr:row>
      <xdr:rowOff>163286</xdr:rowOff>
    </xdr:from>
    <xdr:to>
      <xdr:col>33</xdr:col>
      <xdr:colOff>274409</xdr:colOff>
      <xdr:row>29</xdr:row>
      <xdr:rowOff>53067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727C1E-55C4-4C65-A345-10F02DE5D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selection activeCell="K1" sqref="D1:K1"/>
    </sheetView>
  </sheetViews>
  <sheetFormatPr defaultRowHeight="14.5" x14ac:dyDescent="0.35"/>
  <cols>
    <col min="2" max="2" width="11.36328125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</v>
      </c>
      <c r="M1" t="s">
        <v>12</v>
      </c>
      <c r="N1" t="s">
        <v>14</v>
      </c>
    </row>
    <row r="2" spans="1:14" x14ac:dyDescent="0.35">
      <c r="A2">
        <v>1</v>
      </c>
      <c r="B2" s="1">
        <v>44377</v>
      </c>
      <c r="C2" t="s">
        <v>10</v>
      </c>
      <c r="D2">
        <v>0</v>
      </c>
      <c r="E2">
        <v>1.7951425554382301</v>
      </c>
      <c r="F2">
        <v>0</v>
      </c>
      <c r="G2">
        <v>0</v>
      </c>
      <c r="H2">
        <v>0</v>
      </c>
      <c r="I2">
        <v>0</v>
      </c>
      <c r="J2">
        <v>0.40126715945089803</v>
      </c>
      <c r="K2">
        <v>6.8848996832101399</v>
      </c>
      <c r="L2">
        <f>D2/K2</f>
        <v>0</v>
      </c>
      <c r="M2">
        <f>D2/E2</f>
        <v>0</v>
      </c>
      <c r="N2">
        <f>K2/E2</f>
        <v>3.8352941176470514</v>
      </c>
    </row>
    <row r="3" spans="1:14" x14ac:dyDescent="0.35">
      <c r="A3">
        <v>2</v>
      </c>
      <c r="B3" s="1">
        <v>44397</v>
      </c>
      <c r="C3" t="s">
        <v>10</v>
      </c>
      <c r="D3">
        <v>0.21226915729144599</v>
      </c>
      <c r="E3">
        <v>1.48588410104012</v>
      </c>
      <c r="F3">
        <v>0</v>
      </c>
      <c r="G3">
        <v>0.33963065166631301</v>
      </c>
      <c r="H3">
        <v>0</v>
      </c>
      <c r="I3">
        <v>0</v>
      </c>
      <c r="J3">
        <v>0.27594990447887902</v>
      </c>
      <c r="K3">
        <v>2.4623222245807699</v>
      </c>
      <c r="L3">
        <f t="shared" ref="L3:L18" si="0">D3/K3</f>
        <v>8.6206896551724269E-2</v>
      </c>
      <c r="M3">
        <f t="shared" ref="M3:M9" si="1">D3/E3</f>
        <v>0.14285714285714304</v>
      </c>
      <c r="N3">
        <f t="shared" ref="N3:N18" si="2">K3/E3</f>
        <v>1.6571428571428568</v>
      </c>
    </row>
    <row r="4" spans="1:14" x14ac:dyDescent="0.35">
      <c r="A4">
        <v>3</v>
      </c>
      <c r="B4" s="1">
        <v>44446</v>
      </c>
      <c r="C4" t="s">
        <v>10</v>
      </c>
      <c r="D4">
        <v>0.75561312607944697</v>
      </c>
      <c r="E4">
        <v>4.1234887737478401</v>
      </c>
      <c r="F4">
        <v>0</v>
      </c>
      <c r="G4">
        <v>0.215889464594128</v>
      </c>
      <c r="H4">
        <v>0</v>
      </c>
      <c r="I4">
        <v>0</v>
      </c>
      <c r="J4">
        <v>0.36701208981001698</v>
      </c>
      <c r="K4">
        <v>3.1951640759930902</v>
      </c>
      <c r="L4">
        <f t="shared" si="0"/>
        <v>0.23648648648648649</v>
      </c>
      <c r="M4">
        <f t="shared" si="1"/>
        <v>0.18324607329842929</v>
      </c>
      <c r="N4">
        <f t="shared" si="2"/>
        <v>0.7748691099476438</v>
      </c>
    </row>
    <row r="5" spans="1:14" x14ac:dyDescent="0.35">
      <c r="A5">
        <v>4</v>
      </c>
      <c r="B5" s="1">
        <v>44467</v>
      </c>
      <c r="C5" t="s">
        <v>10</v>
      </c>
      <c r="D5">
        <v>0.32923617208077299</v>
      </c>
      <c r="E5">
        <v>3.3582089552238799</v>
      </c>
      <c r="F5">
        <v>0</v>
      </c>
      <c r="G5">
        <v>0.153643546971027</v>
      </c>
      <c r="H5">
        <v>0</v>
      </c>
      <c r="I5">
        <v>0</v>
      </c>
      <c r="J5">
        <v>0.219490781387182</v>
      </c>
      <c r="K5">
        <v>3.0509218612818301</v>
      </c>
      <c r="L5">
        <f t="shared" si="0"/>
        <v>0.10791366906474818</v>
      </c>
      <c r="M5">
        <f t="shared" si="1"/>
        <v>9.8039215686274647E-2</v>
      </c>
      <c r="N5">
        <f t="shared" si="2"/>
        <v>0.90849673202614512</v>
      </c>
    </row>
    <row r="6" spans="1:14" x14ac:dyDescent="0.35">
      <c r="A6">
        <v>5</v>
      </c>
      <c r="B6" s="1">
        <v>44489</v>
      </c>
      <c r="C6" t="s">
        <v>10</v>
      </c>
      <c r="D6">
        <v>0.31766200762388802</v>
      </c>
      <c r="E6">
        <v>3.3248623464633602</v>
      </c>
      <c r="F6">
        <v>0</v>
      </c>
      <c r="G6">
        <v>0.25412960609911101</v>
      </c>
      <c r="H6">
        <v>0</v>
      </c>
      <c r="I6">
        <v>0</v>
      </c>
      <c r="J6">
        <v>0.19059720457433299</v>
      </c>
      <c r="K6">
        <v>3.5154595510376998</v>
      </c>
      <c r="L6">
        <f t="shared" si="0"/>
        <v>9.0361445783132377E-2</v>
      </c>
      <c r="M6">
        <f t="shared" si="1"/>
        <v>9.5541401273885385E-2</v>
      </c>
      <c r="N6">
        <f t="shared" si="2"/>
        <v>1.0573248407643332</v>
      </c>
    </row>
    <row r="7" spans="1:14" x14ac:dyDescent="0.35">
      <c r="A7">
        <v>6</v>
      </c>
      <c r="B7" s="1">
        <v>44501</v>
      </c>
      <c r="C7" t="s">
        <v>10</v>
      </c>
      <c r="D7">
        <v>1.0579678201454701</v>
      </c>
      <c r="E7">
        <v>3.5265594004849001</v>
      </c>
      <c r="F7">
        <v>0.39673793255455098</v>
      </c>
      <c r="G7">
        <v>0.176327970024245</v>
      </c>
      <c r="H7">
        <v>0</v>
      </c>
      <c r="I7">
        <v>0</v>
      </c>
      <c r="J7">
        <v>0.33061494379546003</v>
      </c>
      <c r="K7">
        <v>3.1518624641833801</v>
      </c>
      <c r="L7">
        <f t="shared" si="0"/>
        <v>0.33566433566433562</v>
      </c>
      <c r="M7">
        <f t="shared" si="1"/>
        <v>0.3</v>
      </c>
      <c r="N7">
        <f t="shared" si="2"/>
        <v>0.89375000000000016</v>
      </c>
    </row>
    <row r="8" spans="1:14" x14ac:dyDescent="0.35">
      <c r="A8">
        <v>7</v>
      </c>
      <c r="B8" s="1">
        <v>44515</v>
      </c>
      <c r="C8" t="s">
        <v>10</v>
      </c>
      <c r="D8">
        <v>0.40790038643194498</v>
      </c>
      <c r="E8">
        <v>2.8982395878059299</v>
      </c>
      <c r="F8">
        <v>0</v>
      </c>
      <c r="G8">
        <v>0</v>
      </c>
      <c r="H8">
        <v>0</v>
      </c>
      <c r="I8">
        <v>0</v>
      </c>
      <c r="J8">
        <v>0.38643194504078998</v>
      </c>
      <c r="K8">
        <v>3.28467153284672</v>
      </c>
      <c r="L8">
        <f t="shared" si="0"/>
        <v>0.12418300653594752</v>
      </c>
      <c r="M8">
        <f t="shared" si="1"/>
        <v>0.1407407407407405</v>
      </c>
      <c r="N8">
        <f t="shared" si="2"/>
        <v>1.1333333333333331</v>
      </c>
    </row>
    <row r="9" spans="1:14" x14ac:dyDescent="0.35">
      <c r="A9">
        <v>8</v>
      </c>
      <c r="B9" s="1">
        <v>44523</v>
      </c>
      <c r="C9" t="s">
        <v>10</v>
      </c>
      <c r="D9">
        <v>0.30481166993250602</v>
      </c>
      <c r="E9">
        <v>2.0683649031134301</v>
      </c>
      <c r="F9">
        <v>0</v>
      </c>
      <c r="G9">
        <v>8.7089048552144596E-2</v>
      </c>
      <c r="H9">
        <v>0</v>
      </c>
      <c r="I9">
        <v>0</v>
      </c>
      <c r="J9">
        <v>0.50076202917483104</v>
      </c>
      <c r="K9">
        <v>3.98432397126061</v>
      </c>
      <c r="L9">
        <f t="shared" si="0"/>
        <v>7.6502732240437243E-2</v>
      </c>
      <c r="M9">
        <f t="shared" si="1"/>
        <v>0.14736842105263184</v>
      </c>
      <c r="N9">
        <f t="shared" si="2"/>
        <v>1.9263157894736853</v>
      </c>
    </row>
    <row r="11" spans="1:14" x14ac:dyDescent="0.35">
      <c r="A11">
        <v>9</v>
      </c>
      <c r="B11" s="1">
        <v>44377</v>
      </c>
      <c r="C11" t="s">
        <v>11</v>
      </c>
      <c r="D11">
        <v>0.14671976524837599</v>
      </c>
      <c r="E11">
        <v>1.7606371829805101</v>
      </c>
      <c r="F11">
        <v>0</v>
      </c>
      <c r="G11">
        <v>0.209599664640537</v>
      </c>
      <c r="H11">
        <v>0</v>
      </c>
      <c r="I11">
        <v>0</v>
      </c>
      <c r="J11">
        <v>0.251519597568644</v>
      </c>
      <c r="K11">
        <v>7.8180674910920098</v>
      </c>
      <c r="L11">
        <f t="shared" si="0"/>
        <v>1.8766756032171643E-2</v>
      </c>
      <c r="M11">
        <f>D11/E11</f>
        <v>8.3333333333333412E-2</v>
      </c>
      <c r="N11">
        <f t="shared" si="2"/>
        <v>4.4404761904761809</v>
      </c>
    </row>
    <row r="12" spans="1:14" x14ac:dyDescent="0.35">
      <c r="A12">
        <v>10</v>
      </c>
      <c r="B12" s="1">
        <v>44397</v>
      </c>
      <c r="C12" t="s">
        <v>11</v>
      </c>
      <c r="D12">
        <v>8.3804734967525704E-2</v>
      </c>
      <c r="E12">
        <v>1.11041273831972</v>
      </c>
      <c r="F12">
        <v>0</v>
      </c>
      <c r="G12">
        <v>0.27236538864445797</v>
      </c>
      <c r="H12">
        <v>0</v>
      </c>
      <c r="I12">
        <v>4.1902367483762797E-2</v>
      </c>
      <c r="J12">
        <v>0.29331657238634001</v>
      </c>
      <c r="K12">
        <v>3.58265241986172</v>
      </c>
      <c r="L12">
        <f t="shared" si="0"/>
        <v>2.3391812865497102E-2</v>
      </c>
      <c r="M12">
        <f t="shared" ref="M12:M18" si="3">D12/E12</f>
        <v>7.5471698113207253E-2</v>
      </c>
      <c r="N12">
        <f t="shared" si="2"/>
        <v>3.2264150943396066</v>
      </c>
    </row>
    <row r="13" spans="1:14" x14ac:dyDescent="0.35">
      <c r="A13">
        <v>11</v>
      </c>
      <c r="B13" s="1">
        <v>44446</v>
      </c>
      <c r="C13" t="s">
        <v>11</v>
      </c>
      <c r="D13">
        <v>0.57312672468690296</v>
      </c>
      <c r="E13">
        <v>4.01188707280832</v>
      </c>
      <c r="F13">
        <v>0</v>
      </c>
      <c r="G13">
        <v>0.21226915729144599</v>
      </c>
      <c r="H13">
        <v>2.1226915729144601E-2</v>
      </c>
      <c r="I13">
        <v>0</v>
      </c>
      <c r="J13">
        <v>0.23349607302059</v>
      </c>
      <c r="K13">
        <v>2.6109106346847799</v>
      </c>
      <c r="L13">
        <f t="shared" si="0"/>
        <v>0.21951219512195125</v>
      </c>
      <c r="M13">
        <f t="shared" si="3"/>
        <v>0.14285714285714288</v>
      </c>
      <c r="N13">
        <f t="shared" si="2"/>
        <v>0.65079365079365081</v>
      </c>
    </row>
    <row r="14" spans="1:14" x14ac:dyDescent="0.35">
      <c r="A14">
        <v>12</v>
      </c>
      <c r="B14" s="1">
        <v>44467</v>
      </c>
      <c r="C14" t="s">
        <v>11</v>
      </c>
      <c r="D14">
        <v>0.21137180300148001</v>
      </c>
      <c r="E14">
        <v>3.3608116677235298</v>
      </c>
      <c r="F14">
        <v>0</v>
      </c>
      <c r="G14">
        <v>0.253646163601775</v>
      </c>
      <c r="H14">
        <v>0</v>
      </c>
      <c r="I14">
        <v>0</v>
      </c>
      <c r="J14">
        <v>0.232508983301628</v>
      </c>
      <c r="K14">
        <v>3.5299091101247102</v>
      </c>
      <c r="L14">
        <f t="shared" si="0"/>
        <v>5.9880239520958181E-2</v>
      </c>
      <c r="M14">
        <f t="shared" si="3"/>
        <v>6.2893081761006331E-2</v>
      </c>
      <c r="N14">
        <f t="shared" si="2"/>
        <v>1.0503144654088039</v>
      </c>
    </row>
    <row r="15" spans="1:14" x14ac:dyDescent="0.35">
      <c r="A15">
        <v>13</v>
      </c>
      <c r="B15" s="1">
        <v>44489</v>
      </c>
      <c r="C15" t="s">
        <v>11</v>
      </c>
      <c r="D15">
        <v>0.48884165781083999</v>
      </c>
      <c r="E15">
        <v>3.80446333687566</v>
      </c>
      <c r="F15">
        <v>0</v>
      </c>
      <c r="G15">
        <v>8.5015940488841701E-2</v>
      </c>
      <c r="H15">
        <v>0</v>
      </c>
      <c r="I15">
        <v>0</v>
      </c>
      <c r="J15">
        <v>0.25504782146652499</v>
      </c>
      <c r="K15">
        <v>3.8682252922422999</v>
      </c>
      <c r="L15">
        <f t="shared" si="0"/>
        <v>0.12637362637362634</v>
      </c>
      <c r="M15">
        <f t="shared" si="3"/>
        <v>0.1284916201117321</v>
      </c>
      <c r="N15">
        <f t="shared" si="2"/>
        <v>1.0167597765363152</v>
      </c>
    </row>
    <row r="16" spans="1:14" x14ac:dyDescent="0.35">
      <c r="A16">
        <v>14</v>
      </c>
      <c r="B16" s="1">
        <v>44501</v>
      </c>
      <c r="C16" t="s">
        <v>11</v>
      </c>
      <c r="D16">
        <v>1.84707903780069</v>
      </c>
      <c r="E16">
        <v>3.3505154639175299</v>
      </c>
      <c r="F16">
        <v>2.9639175257732</v>
      </c>
      <c r="G16">
        <v>0.21477663230240501</v>
      </c>
      <c r="H16">
        <v>4.29553264604811E-2</v>
      </c>
      <c r="I16">
        <v>0</v>
      </c>
      <c r="J16">
        <v>0.21477663230240501</v>
      </c>
      <c r="K16">
        <v>3.1572164948453598</v>
      </c>
      <c r="L16">
        <f t="shared" si="0"/>
        <v>0.58503401360544327</v>
      </c>
      <c r="M16">
        <f t="shared" si="3"/>
        <v>0.55128205128205143</v>
      </c>
      <c r="N16">
        <f t="shared" si="2"/>
        <v>0.94230769230769085</v>
      </c>
    </row>
    <row r="17" spans="1:14" x14ac:dyDescent="0.35">
      <c r="A17">
        <v>15</v>
      </c>
      <c r="B17" s="1">
        <v>44515</v>
      </c>
      <c r="C17" t="s">
        <v>11</v>
      </c>
      <c r="D17">
        <v>0.27873070325900501</v>
      </c>
      <c r="E17">
        <v>2.68010291595197</v>
      </c>
      <c r="F17">
        <v>0</v>
      </c>
      <c r="G17">
        <v>8.5763293310463104E-2</v>
      </c>
      <c r="H17">
        <v>0</v>
      </c>
      <c r="I17">
        <v>0</v>
      </c>
      <c r="J17">
        <v>0.493138936535163</v>
      </c>
      <c r="K17">
        <v>3.7735849056603801</v>
      </c>
      <c r="L17">
        <f t="shared" si="0"/>
        <v>7.386363636363627E-2</v>
      </c>
      <c r="M17">
        <f t="shared" si="3"/>
        <v>0.10400000000000005</v>
      </c>
      <c r="N17">
        <f t="shared" si="2"/>
        <v>1.4080000000000024</v>
      </c>
    </row>
    <row r="18" spans="1:14" x14ac:dyDescent="0.35">
      <c r="A18">
        <v>16</v>
      </c>
      <c r="B18" s="1">
        <v>44523</v>
      </c>
      <c r="C18" t="s">
        <v>11</v>
      </c>
      <c r="D18">
        <v>0.30809859154929597</v>
      </c>
      <c r="E18">
        <v>2.9049295774647899</v>
      </c>
      <c r="F18">
        <v>0</v>
      </c>
      <c r="G18">
        <v>4.4014084507042299E-2</v>
      </c>
      <c r="H18">
        <v>4.4014084507042299E-2</v>
      </c>
      <c r="I18">
        <v>0</v>
      </c>
      <c r="J18">
        <v>0.15404929577464799</v>
      </c>
      <c r="K18">
        <v>3.1690140845070398</v>
      </c>
      <c r="L18">
        <f t="shared" si="0"/>
        <v>9.7222222222222363E-2</v>
      </c>
      <c r="M18">
        <f t="shared" si="3"/>
        <v>0.10606060606060609</v>
      </c>
      <c r="N18">
        <f t="shared" si="2"/>
        <v>1.0909090909090897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15"/>
  <sheetViews>
    <sheetView tabSelected="1" workbookViewId="0">
      <selection activeCell="J13" sqref="J13"/>
    </sheetView>
  </sheetViews>
  <sheetFormatPr defaultRowHeight="14.5" x14ac:dyDescent="0.35"/>
  <cols>
    <col min="3" max="3" width="23.36328125" customWidth="1"/>
  </cols>
  <sheetData>
    <row r="4" spans="3:5" x14ac:dyDescent="0.35">
      <c r="C4" s="2" t="s">
        <v>24</v>
      </c>
      <c r="D4" s="2" t="s">
        <v>23</v>
      </c>
      <c r="E4" s="2" t="s">
        <v>22</v>
      </c>
    </row>
    <row r="5" spans="3:5" x14ac:dyDescent="0.35">
      <c r="C5" s="2" t="s">
        <v>15</v>
      </c>
      <c r="D5" s="2" t="s">
        <v>20</v>
      </c>
      <c r="E5" s="2"/>
    </row>
    <row r="6" spans="3:5" x14ac:dyDescent="0.35">
      <c r="C6" s="2" t="s">
        <v>9</v>
      </c>
      <c r="D6" s="2" t="s">
        <v>20</v>
      </c>
      <c r="E6" s="2"/>
    </row>
    <row r="7" spans="3:5" x14ac:dyDescent="0.35">
      <c r="C7" s="2" t="s">
        <v>16</v>
      </c>
      <c r="D7" s="2" t="s">
        <v>20</v>
      </c>
      <c r="E7" s="2" t="s">
        <v>25</v>
      </c>
    </row>
    <row r="8" spans="3:5" x14ac:dyDescent="0.35">
      <c r="C8" s="2" t="s">
        <v>4</v>
      </c>
      <c r="D8" s="2" t="s">
        <v>20</v>
      </c>
      <c r="E8" s="2" t="s">
        <v>25</v>
      </c>
    </row>
    <row r="9" spans="3:5" x14ac:dyDescent="0.35">
      <c r="C9" s="2" t="s">
        <v>6</v>
      </c>
      <c r="D9" s="2" t="s">
        <v>20</v>
      </c>
      <c r="E9" s="2" t="s">
        <v>25</v>
      </c>
    </row>
    <row r="10" spans="3:5" x14ac:dyDescent="0.35">
      <c r="C10" s="2" t="s">
        <v>7</v>
      </c>
      <c r="D10" s="2" t="s">
        <v>20</v>
      </c>
      <c r="E10" s="2" t="s">
        <v>25</v>
      </c>
    </row>
    <row r="11" spans="3:5" x14ac:dyDescent="0.35">
      <c r="C11" s="2" t="s">
        <v>17</v>
      </c>
      <c r="D11" s="2" t="s">
        <v>21</v>
      </c>
      <c r="E11" s="2"/>
    </row>
    <row r="12" spans="3:5" x14ac:dyDescent="0.35">
      <c r="C12" s="2" t="s">
        <v>18</v>
      </c>
      <c r="D12" s="2" t="s">
        <v>21</v>
      </c>
      <c r="E12" s="2" t="s">
        <v>25</v>
      </c>
    </row>
    <row r="13" spans="3:5" x14ac:dyDescent="0.35">
      <c r="C13" s="2" t="s">
        <v>5</v>
      </c>
      <c r="D13" s="2" t="s">
        <v>21</v>
      </c>
      <c r="E13" s="2" t="s">
        <v>25</v>
      </c>
    </row>
    <row r="14" spans="3:5" x14ac:dyDescent="0.35">
      <c r="C14" s="2" t="s">
        <v>8</v>
      </c>
      <c r="D14" s="2" t="s">
        <v>21</v>
      </c>
      <c r="E14" s="2" t="s">
        <v>25</v>
      </c>
    </row>
    <row r="15" spans="3:5" x14ac:dyDescent="0.35">
      <c r="C15" s="2" t="s">
        <v>19</v>
      </c>
      <c r="D15" s="2" t="s">
        <v>21</v>
      </c>
      <c r="E1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phos_taxa</vt:lpstr>
      <vt:lpstr>name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McKenna</cp:lastModifiedBy>
  <dcterms:created xsi:type="dcterms:W3CDTF">2022-01-18T19:37:56Z</dcterms:created>
  <dcterms:modified xsi:type="dcterms:W3CDTF">2022-01-18T20:17:41Z</dcterms:modified>
</cp:coreProperties>
</file>